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wclark/Desktop/DS_PROJECT/"/>
    </mc:Choice>
  </mc:AlternateContent>
  <xr:revisionPtr revIDLastSave="0" documentId="8_{1E6FF674-2BB8-C04D-BDDE-B1BDD6ECCF36}" xr6:coauthVersionLast="47" xr6:coauthVersionMax="47" xr10:uidLastSave="{00000000-0000-0000-0000-000000000000}"/>
  <bookViews>
    <workbookView xWindow="14760" yWindow="900" windowWidth="14480" windowHeight="17080" xr2:uid="{DB41CDBB-10EC-5F4C-A29C-942C058C2002}"/>
  </bookViews>
  <sheets>
    <sheet name="Sheet2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2" l="1"/>
  <c r="P9" i="2"/>
  <c r="Q9" i="2"/>
  <c r="R9" i="2"/>
  <c r="S9" i="2"/>
  <c r="T9" i="2"/>
  <c r="U9" i="2"/>
  <c r="V9" i="2"/>
  <c r="N9" i="2"/>
  <c r="D22" i="2"/>
  <c r="E22" i="2"/>
  <c r="C22" i="2"/>
  <c r="E30" i="2"/>
  <c r="F30" i="2"/>
  <c r="G30" i="2"/>
  <c r="H30" i="2"/>
  <c r="I30" i="2"/>
  <c r="J30" i="2"/>
  <c r="K30" i="2"/>
  <c r="L30" i="2"/>
  <c r="D30" i="2"/>
  <c r="I9" i="2"/>
  <c r="H4" i="2"/>
  <c r="I3" i="2"/>
  <c r="I4" i="2"/>
  <c r="I5" i="2"/>
  <c r="I6" i="2"/>
  <c r="I7" i="2"/>
  <c r="I8" i="2"/>
  <c r="H3" i="2"/>
  <c r="H9" i="2" s="1"/>
  <c r="H10" i="2" s="1"/>
  <c r="H5" i="2"/>
  <c r="H6" i="2"/>
  <c r="H7" i="2"/>
  <c r="H8" i="2"/>
  <c r="G8" i="2"/>
  <c r="G4" i="2"/>
  <c r="G9" i="2" s="1"/>
  <c r="G5" i="2"/>
  <c r="G6" i="2"/>
  <c r="G7" i="2"/>
  <c r="G3" i="2"/>
  <c r="D9" i="2"/>
  <c r="D10" i="2" s="1"/>
  <c r="E9" i="2"/>
  <c r="C9" i="2"/>
</calcChain>
</file>

<file path=xl/sharedStrings.xml><?xml version="1.0" encoding="utf-8"?>
<sst xmlns="http://schemas.openxmlformats.org/spreadsheetml/2006/main" count="61" uniqueCount="27">
  <si>
    <t xml:space="preserve"> Model </t>
  </si>
  <si>
    <t xml:space="preserve"> Accuracy Score </t>
  </si>
  <si>
    <t xml:space="preserve"> Micro F1 Score </t>
  </si>
  <si>
    <t xml:space="preserve"> Macro F1 Score </t>
  </si>
  <si>
    <t>------------------</t>
  </si>
  <si>
    <t>----------------</t>
  </si>
  <si>
    <t xml:space="preserve"> KNN </t>
  </si>
  <si>
    <t xml:space="preserve"> Logistic Regression </t>
  </si>
  <si>
    <t xml:space="preserve"> Decision Tree </t>
  </si>
  <si>
    <t xml:space="preserve"> Random Forest </t>
  </si>
  <si>
    <t xml:space="preserve"> Linear SVC </t>
  </si>
  <si>
    <t xml:space="preserve"> RBF SVC </t>
  </si>
  <si>
    <t>Logistic Regression</t>
  </si>
  <si>
    <t xml:space="preserve"> C-H </t>
  </si>
  <si>
    <t xml:space="preserve"> C=C </t>
  </si>
  <si>
    <t xml:space="preserve"> \ce{C#C} </t>
  </si>
  <si>
    <t xml:space="preserve"> \ce{C#N} </t>
  </si>
  <si>
    <t xml:space="preserve"> C-OH </t>
  </si>
  <si>
    <t xml:space="preserve"> C=O </t>
  </si>
  <si>
    <t xml:space="preserve"> C=OOH </t>
  </si>
  <si>
    <t xml:space="preserve"> N-H </t>
  </si>
  <si>
    <t xml:space="preserve"> \ce{C#C}-H </t>
  </si>
  <si>
    <t xml:space="preserve"> </t>
  </si>
  <si>
    <t>-----</t>
  </si>
  <si>
    <t xml:space="preserve"> ----</t>
  </si>
  <si>
    <t>------</t>
  </si>
  <si>
    <t>-------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</si>
</sst>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D4D4D4"/>
      <name val="Menlo"/>
      <family val="2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C8F0D-58E7-0140-89C3-12A406E4FBA3}">
  <dimension ref="A1:W30"/>
  <sheetViews>
    <sheetView tabSelected="1" topLeftCell="M1" workbookViewId="0">
      <selection activeCell="N9" sqref="N9:V9"/>
    </sheetView>
  </sheetViews>
  <sheetFormatPr baseColWidth="10" defaultRowHeight="16" x14ac:dyDescent="0.2"/>
  <sheetData>
    <row r="1" spans="1:23" x14ac:dyDescent="0.2">
      <c r="A1" s="1"/>
      <c r="B1" t="s">
        <v>0</v>
      </c>
      <c r="C1" t="s">
        <v>1</v>
      </c>
      <c r="D1" t="s">
        <v>2</v>
      </c>
      <c r="E1" t="s">
        <v>3</v>
      </c>
      <c r="L1" s="1"/>
      <c r="M1" t="s">
        <v>0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 s="1"/>
      <c r="B2" t="s">
        <v>4</v>
      </c>
      <c r="C2" t="s">
        <v>5</v>
      </c>
      <c r="D2" t="s">
        <v>5</v>
      </c>
      <c r="E2" t="s">
        <v>5</v>
      </c>
      <c r="L2" s="1"/>
      <c r="M2" t="s">
        <v>4</v>
      </c>
      <c r="N2" t="s">
        <v>23</v>
      </c>
      <c r="O2" t="s">
        <v>24</v>
      </c>
      <c r="P2" t="s">
        <v>23</v>
      </c>
      <c r="Q2" t="s">
        <v>23</v>
      </c>
      <c r="R2" t="s">
        <v>25</v>
      </c>
      <c r="S2" t="s">
        <v>23</v>
      </c>
      <c r="T2" t="s">
        <v>26</v>
      </c>
      <c r="U2" t="s">
        <v>23</v>
      </c>
      <c r="V2" t="s">
        <v>26</v>
      </c>
    </row>
    <row r="3" spans="1:23" x14ac:dyDescent="0.2">
      <c r="A3" s="1"/>
      <c r="B3" t="s">
        <v>6</v>
      </c>
      <c r="C3">
        <v>0.54169999999999996</v>
      </c>
      <c r="D3">
        <v>0.88629999999999998</v>
      </c>
      <c r="E3">
        <v>0.79859999999999998</v>
      </c>
      <c r="G3">
        <f>C3-C16</f>
        <v>0.16669999999999996</v>
      </c>
      <c r="H3">
        <f>D3-D16</f>
        <v>0.16989999999999994</v>
      </c>
      <c r="I3">
        <f>E3-E16</f>
        <v>0.2379</v>
      </c>
      <c r="L3" s="1"/>
      <c r="M3" t="s">
        <v>6</v>
      </c>
      <c r="N3">
        <v>0.9</v>
      </c>
      <c r="O3">
        <v>0.4</v>
      </c>
      <c r="P3">
        <v>0.8</v>
      </c>
      <c r="Q3">
        <v>0</v>
      </c>
      <c r="R3">
        <v>0.75</v>
      </c>
      <c r="S3">
        <v>0.4</v>
      </c>
      <c r="T3">
        <v>0</v>
      </c>
      <c r="U3">
        <v>0.8</v>
      </c>
      <c r="V3">
        <v>1</v>
      </c>
    </row>
    <row r="4" spans="1:23" x14ac:dyDescent="0.2">
      <c r="A4" s="1"/>
      <c r="B4" t="s">
        <v>7</v>
      </c>
      <c r="C4">
        <v>0.56940000000000002</v>
      </c>
      <c r="D4">
        <v>0.91100000000000003</v>
      </c>
      <c r="E4">
        <v>0.86839999999999995</v>
      </c>
      <c r="G4">
        <f t="shared" ref="G4:I7" si="0">C4-C17</f>
        <v>0.38190000000000002</v>
      </c>
      <c r="H4">
        <f>D4-D17</f>
        <v>0.19840000000000002</v>
      </c>
      <c r="I4">
        <f t="shared" si="0"/>
        <v>0.22719999999999996</v>
      </c>
      <c r="L4" s="1"/>
      <c r="M4" t="s">
        <v>12</v>
      </c>
      <c r="N4">
        <v>0.9</v>
      </c>
      <c r="O4">
        <v>0.75</v>
      </c>
      <c r="P4">
        <v>1</v>
      </c>
      <c r="Q4">
        <v>0.17</v>
      </c>
      <c r="R4">
        <v>0.8</v>
      </c>
      <c r="S4">
        <v>0.86</v>
      </c>
      <c r="T4">
        <v>0</v>
      </c>
      <c r="U4">
        <v>0.5</v>
      </c>
      <c r="V4">
        <v>0.8</v>
      </c>
    </row>
    <row r="5" spans="1:23" x14ac:dyDescent="0.2">
      <c r="A5" s="1"/>
      <c r="B5" t="s">
        <v>8</v>
      </c>
      <c r="C5">
        <v>1</v>
      </c>
      <c r="D5">
        <v>1</v>
      </c>
      <c r="E5">
        <v>1</v>
      </c>
      <c r="G5">
        <f t="shared" si="0"/>
        <v>0.4375</v>
      </c>
      <c r="H5">
        <f t="shared" si="0"/>
        <v>0.25580000000000003</v>
      </c>
      <c r="I5">
        <f t="shared" si="0"/>
        <v>0.37680000000000002</v>
      </c>
      <c r="L5" s="1"/>
      <c r="M5" t="s">
        <v>8</v>
      </c>
      <c r="N5">
        <v>0.9</v>
      </c>
      <c r="O5">
        <v>0.8</v>
      </c>
      <c r="P5">
        <v>0.75</v>
      </c>
      <c r="Q5">
        <v>0.56999999999999995</v>
      </c>
      <c r="R5">
        <v>0.67</v>
      </c>
      <c r="S5">
        <v>0.86</v>
      </c>
      <c r="T5">
        <v>0</v>
      </c>
      <c r="U5">
        <v>0.4</v>
      </c>
      <c r="V5">
        <v>0.67</v>
      </c>
    </row>
    <row r="6" spans="1:23" x14ac:dyDescent="0.2">
      <c r="A6" s="1"/>
      <c r="B6" t="s">
        <v>9</v>
      </c>
      <c r="C6">
        <v>1</v>
      </c>
      <c r="D6">
        <v>1</v>
      </c>
      <c r="E6">
        <v>1</v>
      </c>
      <c r="G6">
        <f t="shared" si="0"/>
        <v>0.375</v>
      </c>
      <c r="H6">
        <f t="shared" si="0"/>
        <v>0.1885</v>
      </c>
      <c r="I6">
        <f t="shared" si="0"/>
        <v>0.34340000000000004</v>
      </c>
      <c r="L6" s="1"/>
      <c r="M6" t="s">
        <v>9</v>
      </c>
      <c r="N6">
        <v>0.9</v>
      </c>
      <c r="O6">
        <v>0.86</v>
      </c>
      <c r="P6">
        <v>0.8</v>
      </c>
      <c r="Q6">
        <v>0</v>
      </c>
      <c r="R6">
        <v>0.89</v>
      </c>
      <c r="S6">
        <v>0.67</v>
      </c>
      <c r="T6">
        <v>0</v>
      </c>
      <c r="U6">
        <v>0.8</v>
      </c>
      <c r="V6">
        <v>1</v>
      </c>
    </row>
    <row r="7" spans="1:23" x14ac:dyDescent="0.2">
      <c r="A7" s="1"/>
      <c r="B7" t="s">
        <v>10</v>
      </c>
      <c r="C7">
        <v>0.90300000000000002</v>
      </c>
      <c r="D7">
        <v>0.96450000000000002</v>
      </c>
      <c r="E7">
        <v>0.98199999999999998</v>
      </c>
      <c r="G7">
        <f t="shared" si="0"/>
        <v>0.65300000000000002</v>
      </c>
      <c r="H7">
        <f t="shared" si="0"/>
        <v>0.25870000000000004</v>
      </c>
      <c r="I7">
        <f t="shared" si="0"/>
        <v>0.33799999999999997</v>
      </c>
      <c r="L7" s="1"/>
      <c r="M7" t="s">
        <v>10</v>
      </c>
      <c r="N7">
        <v>0.9</v>
      </c>
      <c r="O7">
        <v>0.6</v>
      </c>
      <c r="P7">
        <v>0.8</v>
      </c>
      <c r="Q7">
        <v>0.18</v>
      </c>
      <c r="R7">
        <v>0.89</v>
      </c>
      <c r="S7">
        <v>0.86</v>
      </c>
      <c r="T7">
        <v>0</v>
      </c>
      <c r="U7">
        <v>0.56999999999999995</v>
      </c>
      <c r="V7">
        <v>1</v>
      </c>
    </row>
    <row r="8" spans="1:23" x14ac:dyDescent="0.2">
      <c r="A8" s="1"/>
      <c r="B8" t="s">
        <v>11</v>
      </c>
      <c r="C8">
        <v>0.76339999999999997</v>
      </c>
      <c r="D8">
        <v>0.94899999999999995</v>
      </c>
      <c r="E8">
        <v>0.92020000000000002</v>
      </c>
      <c r="G8">
        <f>C8-C21</f>
        <v>0.45089999999999997</v>
      </c>
      <c r="H8">
        <f>D8-D21</f>
        <v>0.23849999999999993</v>
      </c>
      <c r="I8">
        <f>E8-E21</f>
        <v>0.31020000000000003</v>
      </c>
      <c r="L8" s="1"/>
      <c r="M8" t="s">
        <v>11</v>
      </c>
      <c r="N8">
        <v>0.9</v>
      </c>
      <c r="O8">
        <v>0.56999999999999995</v>
      </c>
      <c r="P8">
        <v>0.67</v>
      </c>
      <c r="Q8">
        <v>0</v>
      </c>
      <c r="R8">
        <v>0.89</v>
      </c>
      <c r="S8">
        <v>0.67</v>
      </c>
      <c r="T8">
        <v>0</v>
      </c>
      <c r="U8">
        <v>0.8</v>
      </c>
      <c r="V8">
        <v>1</v>
      </c>
    </row>
    <row r="9" spans="1:23" x14ac:dyDescent="0.2">
      <c r="C9">
        <f>AVERAGE(C3:C8)</f>
        <v>0.79625000000000001</v>
      </c>
      <c r="D9">
        <f t="shared" ref="D9:E9" si="1">AVERAGE(D3:D8)</f>
        <v>0.95179999999999998</v>
      </c>
      <c r="E9">
        <f t="shared" si="1"/>
        <v>0.92820000000000003</v>
      </c>
      <c r="G9">
        <f>AVERAGE(G3:G8)</f>
        <v>0.41083333333333333</v>
      </c>
      <c r="H9">
        <f t="shared" ref="H9:I9" si="2">AVERAGE(H3:H8)</f>
        <v>0.21829999999999997</v>
      </c>
      <c r="I9">
        <f t="shared" si="2"/>
        <v>0.30558333333333332</v>
      </c>
      <c r="N9">
        <f>AVERAGE(N3:N8)</f>
        <v>0.9</v>
      </c>
      <c r="O9">
        <f t="shared" ref="O9:V9" si="3">AVERAGE(O3:O8)</f>
        <v>0.66333333333333333</v>
      </c>
      <c r="P9">
        <f t="shared" si="3"/>
        <v>0.80333333333333323</v>
      </c>
      <c r="Q9">
        <f t="shared" si="3"/>
        <v>0.15333333333333332</v>
      </c>
      <c r="R9">
        <f t="shared" si="3"/>
        <v>0.81499999999999995</v>
      </c>
      <c r="S9">
        <f t="shared" si="3"/>
        <v>0.72000000000000008</v>
      </c>
      <c r="T9">
        <f t="shared" si="3"/>
        <v>0</v>
      </c>
      <c r="U9">
        <f t="shared" si="3"/>
        <v>0.64500000000000002</v>
      </c>
      <c r="V9">
        <f t="shared" si="3"/>
        <v>0.91166666666666674</v>
      </c>
    </row>
    <row r="10" spans="1:23" x14ac:dyDescent="0.2">
      <c r="D10">
        <f>AVERAGE(D9:E9)</f>
        <v>0.94</v>
      </c>
      <c r="H10">
        <f>AVERAGE(H9:I9)</f>
        <v>0.26194166666666663</v>
      </c>
    </row>
    <row r="14" spans="1:23" x14ac:dyDescent="0.2">
      <c r="A14" s="1"/>
      <c r="B14" t="s">
        <v>0</v>
      </c>
      <c r="C14" t="s">
        <v>1</v>
      </c>
      <c r="D14" t="s">
        <v>2</v>
      </c>
      <c r="E14" t="s">
        <v>3</v>
      </c>
    </row>
    <row r="15" spans="1:23" x14ac:dyDescent="0.2">
      <c r="A15" s="1"/>
      <c r="B15" t="s">
        <v>4</v>
      </c>
      <c r="C15" t="s">
        <v>5</v>
      </c>
      <c r="D15" t="s">
        <v>5</v>
      </c>
      <c r="E15" t="s">
        <v>5</v>
      </c>
    </row>
    <row r="16" spans="1:23" x14ac:dyDescent="0.2">
      <c r="A16" s="1"/>
      <c r="B16" t="s">
        <v>6</v>
      </c>
      <c r="C16">
        <v>0.375</v>
      </c>
      <c r="D16">
        <v>0.71640000000000004</v>
      </c>
      <c r="E16">
        <v>0.56069999999999998</v>
      </c>
    </row>
    <row r="17" spans="1:12" x14ac:dyDescent="0.2">
      <c r="A17" s="1"/>
      <c r="B17" t="s">
        <v>7</v>
      </c>
      <c r="C17">
        <v>0.1875</v>
      </c>
      <c r="D17">
        <v>0.71260000000000001</v>
      </c>
      <c r="E17">
        <v>0.64119999999999999</v>
      </c>
    </row>
    <row r="18" spans="1:12" x14ac:dyDescent="0.2">
      <c r="A18" s="1"/>
      <c r="B18" t="s">
        <v>8</v>
      </c>
      <c r="C18">
        <v>0.5625</v>
      </c>
      <c r="D18">
        <v>0.74419999999999997</v>
      </c>
      <c r="E18">
        <v>0.62319999999999998</v>
      </c>
    </row>
    <row r="19" spans="1:12" x14ac:dyDescent="0.2">
      <c r="A19" s="1"/>
      <c r="B19" t="s">
        <v>9</v>
      </c>
      <c r="C19">
        <v>0.625</v>
      </c>
      <c r="D19">
        <v>0.8115</v>
      </c>
      <c r="E19">
        <v>0.65659999999999996</v>
      </c>
    </row>
    <row r="20" spans="1:12" x14ac:dyDescent="0.2">
      <c r="A20" s="1"/>
      <c r="B20" t="s">
        <v>10</v>
      </c>
      <c r="C20">
        <v>0.25</v>
      </c>
      <c r="D20">
        <v>0.70579999999999998</v>
      </c>
      <c r="E20">
        <v>0.64400000000000002</v>
      </c>
    </row>
    <row r="21" spans="1:12" x14ac:dyDescent="0.2">
      <c r="A21" s="1"/>
      <c r="B21" t="s">
        <v>11</v>
      </c>
      <c r="C21">
        <v>0.3125</v>
      </c>
      <c r="D21">
        <v>0.71050000000000002</v>
      </c>
      <c r="E21">
        <v>0.61</v>
      </c>
    </row>
    <row r="22" spans="1:12" x14ac:dyDescent="0.2">
      <c r="C22">
        <f>AVERAGE(C16:C21)</f>
        <v>0.38541666666666669</v>
      </c>
      <c r="D22">
        <f t="shared" ref="D22:E22" si="4">AVERAGE(D16:D21)</f>
        <v>0.73349999999999993</v>
      </c>
      <c r="E22">
        <f t="shared" si="4"/>
        <v>0.62261666666666671</v>
      </c>
    </row>
    <row r="24" spans="1:12" x14ac:dyDescent="0.2">
      <c r="B24" s="2"/>
      <c r="C24" t="s">
        <v>6</v>
      </c>
      <c r="D24">
        <v>0.99</v>
      </c>
      <c r="E24">
        <v>0.77</v>
      </c>
      <c r="F24">
        <v>0.92</v>
      </c>
      <c r="G24">
        <v>0.59</v>
      </c>
      <c r="H24">
        <v>0.86</v>
      </c>
      <c r="I24">
        <v>0.94</v>
      </c>
      <c r="J24">
        <v>0.56999999999999995</v>
      </c>
      <c r="K24">
        <v>0.67</v>
      </c>
      <c r="L24">
        <v>0.88</v>
      </c>
    </row>
    <row r="25" spans="1:12" x14ac:dyDescent="0.2">
      <c r="B25" s="2"/>
      <c r="C25" t="s">
        <v>12</v>
      </c>
      <c r="D25">
        <v>0.99</v>
      </c>
      <c r="E25">
        <v>0.82</v>
      </c>
      <c r="F25">
        <v>0.84</v>
      </c>
      <c r="G25">
        <v>0.75</v>
      </c>
      <c r="H25">
        <v>0.94</v>
      </c>
      <c r="I25">
        <v>0.97</v>
      </c>
      <c r="J25">
        <v>0.67</v>
      </c>
      <c r="K25">
        <v>0.93</v>
      </c>
      <c r="L25">
        <v>0.9</v>
      </c>
    </row>
    <row r="26" spans="1:12" x14ac:dyDescent="0.2">
      <c r="B26" s="2"/>
      <c r="C26" t="s">
        <v>8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</row>
    <row r="27" spans="1:12" x14ac:dyDescent="0.2">
      <c r="B27" s="2"/>
      <c r="C27" t="s">
        <v>9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</row>
    <row r="28" spans="1:12" x14ac:dyDescent="0.2">
      <c r="B28" s="2"/>
      <c r="C28" t="s">
        <v>10</v>
      </c>
      <c r="D28">
        <v>1</v>
      </c>
      <c r="E28">
        <v>0.96</v>
      </c>
      <c r="F28">
        <v>1</v>
      </c>
      <c r="G28">
        <v>0.96</v>
      </c>
      <c r="H28">
        <v>0.98</v>
      </c>
      <c r="I28">
        <v>1</v>
      </c>
      <c r="J28">
        <v>0.83</v>
      </c>
      <c r="K28">
        <v>1</v>
      </c>
      <c r="L28">
        <v>0.95</v>
      </c>
    </row>
    <row r="29" spans="1:12" x14ac:dyDescent="0.2">
      <c r="B29" s="2"/>
      <c r="C29" t="s">
        <v>11</v>
      </c>
      <c r="D29">
        <v>1</v>
      </c>
      <c r="E29">
        <v>0.91</v>
      </c>
      <c r="F29">
        <v>0.9</v>
      </c>
      <c r="G29">
        <v>0.83</v>
      </c>
      <c r="H29">
        <v>0.94</v>
      </c>
      <c r="I29">
        <v>1</v>
      </c>
      <c r="J29">
        <v>0.83</v>
      </c>
      <c r="K29">
        <v>0.97</v>
      </c>
      <c r="L29">
        <v>0.9</v>
      </c>
    </row>
    <row r="30" spans="1:12" x14ac:dyDescent="0.2">
      <c r="D30">
        <f>AVERAGE(D24:D29)</f>
        <v>0.9966666666666667</v>
      </c>
      <c r="E30">
        <f t="shared" ref="E30:L30" si="5">AVERAGE(E24:E29)</f>
        <v>0.91</v>
      </c>
      <c r="F30">
        <f t="shared" si="5"/>
        <v>0.94333333333333336</v>
      </c>
      <c r="G30">
        <f t="shared" si="5"/>
        <v>0.85499999999999998</v>
      </c>
      <c r="H30">
        <f t="shared" si="5"/>
        <v>0.95333333333333314</v>
      </c>
      <c r="I30">
        <f t="shared" si="5"/>
        <v>0.98499999999999999</v>
      </c>
      <c r="J30">
        <f t="shared" si="5"/>
        <v>0.81666666666666676</v>
      </c>
      <c r="K30">
        <f t="shared" si="5"/>
        <v>0.92833333333333323</v>
      </c>
      <c r="L30">
        <f t="shared" si="5"/>
        <v>0.93833333333333346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Clark, Bennett</dc:creator>
  <cp:lastModifiedBy>Clark, Bennett</cp:lastModifiedBy>
  <dcterms:created xsi:type="dcterms:W3CDTF">2025-12-15T15:05:37Z</dcterms:created>
  <dcterms:modified xsi:type="dcterms:W3CDTF">2025-12-15T20:07:35Z</dcterms:modified>
</cp:coreProperties>
</file>